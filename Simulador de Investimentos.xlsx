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EB9B243-5CD9-4061-9867-4535A91C69B9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imulator" sheetId="1" r:id="rId1"/>
    <sheet name="Folha1" sheetId="2" r:id="rId2"/>
  </sheets>
  <definedNames>
    <definedName name="aporte">Simulator!$C$19:$C$19</definedName>
    <definedName name="aporte_inicial">Simulator!$C$18:$D$18</definedName>
    <definedName name="patrimonio">Simulator!$C$22:$C$22</definedName>
    <definedName name="qtd_anos">Simulator!$C$20:$C$20</definedName>
    <definedName name="rendimento_carteira">Simulator!$C$14:$C$14</definedName>
    <definedName name="salario">Simulator!$C$13:$C$13</definedName>
    <definedName name="sugestao_investimento">Simulator!$C$15:$C$15</definedName>
    <definedName name="taxa_mensal">Simulator!$C$21:$C$21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 a="1"/>
  <c r="C22" i="1" a="1"/>
  <c r="C23" i="1" a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D43" i="1" s="1"/>
  <c r="H7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15" i="1"/>
  <c r="C30" i="1"/>
  <c r="D30" i="1" s="1" a="1"/>
  <c r="C29" i="1"/>
  <c r="D29" i="1" s="1" a="1"/>
  <c r="C28" i="1"/>
  <c r="D28" i="1" s="1" a="1"/>
  <c r="C27" i="1"/>
  <c r="D27" i="1" s="1" a="1"/>
  <c r="C26" i="1"/>
  <c r="D26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<sst xmlns="http://schemas.openxmlformats.org/spreadsheetml/2006/main" count="72" uniqueCount="36">
  <si>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>Configurações</t>
  </si>
  <si>
    <t>Salário</t>
  </si>
  <si>
    <t>Rendimento Carteira</t>
  </si>
  <si>
    <t>Sugestão de Investimento</t>
  </si>
  <si>
    <t>INVESTIMENTO MENSAL</t>
  </si>
  <si>
    <t>Aporte inicial?</t>
  </si>
  <si>
    <t>Quanto investir por mês?</t>
  </si>
  <si>
    <t>Por quantos anos?</t>
  </si>
  <si>
    <t>Qual a taxa de rendimento mensal?</t>
  </si>
  <si>
    <t>Quanto de patrimônio vai acumular?</t>
  </si>
  <si>
    <t>Quanto vai receber de dividendos por mês?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</si>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</sst>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"/>
    <numFmt numFmtId="165" formatCode="[$R$-416]\ #,##0.00;[Red]\-[$R$-416]\ #,##0.00"/>
    <numFmt numFmtId="166" formatCode="#,##0.00\ &quot;€&quot;"/>
  </numFmts>
  <fonts count="8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thin">
        <color theme="0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0"/>
      </top>
      <bottom style="thin">
        <color theme="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165" fontId="0" fillId="6" borderId="1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5" fontId="0" fillId="6" borderId="2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5" fillId="6" borderId="22" xfId="0" applyFont="1" applyFill="1" applyBorder="1"/>
    <xf numFmtId="165" fontId="0" fillId="6" borderId="23" xfId="0" applyNumberFormat="1" applyFill="1" applyBorder="1" applyAlignment="1">
      <alignment horizontal="center"/>
    </xf>
    <xf numFmtId="0" fontId="5" fillId="6" borderId="24" xfId="0" applyFont="1" applyFill="1" applyBorder="1"/>
    <xf numFmtId="165" fontId="0" fillId="6" borderId="25" xfId="0" applyNumberFormat="1" applyFill="1" applyBorder="1" applyAlignment="1">
      <alignment horizontal="center"/>
    </xf>
    <xf numFmtId="0" fontId="5" fillId="6" borderId="26" xfId="0" applyFont="1" applyFill="1" applyBorder="1"/>
    <xf numFmtId="165" fontId="0" fillId="6" borderId="9" xfId="0" applyNumberFormat="1" applyFont="1" applyFill="1" applyBorder="1" applyAlignment="1">
      <alignment horizontal="center"/>
    </xf>
    <xf numFmtId="165" fontId="0" fillId="6" borderId="27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10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29" xfId="0" applyNumberFormat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165" fontId="0" fillId="3" borderId="19" xfId="0" applyNumberFormat="1" applyFill="1" applyBorder="1" applyAlignment="1">
      <alignment horizontal="center"/>
    </xf>
    <xf numFmtId="165" fontId="0" fillId="3" borderId="20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10" fontId="0" fillId="4" borderId="13" xfId="0" applyNumberFormat="1" applyFont="1" applyFill="1" applyBorder="1" applyAlignment="1">
      <alignment horizontal="center"/>
    </xf>
    <xf numFmtId="10" fontId="0" fillId="4" borderId="17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0" fontId="0" fillId="7" borderId="0" xfId="0" applyNumberFormat="1" applyFill="1" applyBorder="1" applyAlignment="1">
      <alignment horizontal="center"/>
    </xf>
    <xf numFmtId="165" fontId="3" fillId="8" borderId="0" xfId="0" applyNumberFormat="1" applyFont="1" applyFill="1" applyBorder="1" applyAlignment="1">
      <alignment horizontal="center"/>
    </xf>
    <xf numFmtId="165" fontId="0" fillId="4" borderId="0" xfId="0" applyNumberForma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165" fontId="0" fillId="4" borderId="12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8" borderId="11" xfId="0" applyFont="1" applyFill="1" applyBorder="1"/>
    <xf numFmtId="165" fontId="3" fillId="8" borderId="12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4" borderId="7" xfId="0" applyNumberFormat="1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5" fillId="3" borderId="31" xfId="0" applyFont="1" applyFill="1" applyBorder="1" applyAlignment="1">
      <alignment vertical="center"/>
    </xf>
    <xf numFmtId="165" fontId="3" fillId="4" borderId="0" xfId="0" applyNumberFormat="1" applyFont="1" applyFill="1" applyBorder="1" applyAlignment="1">
      <alignment horizontal="center" vertical="center"/>
    </xf>
    <xf numFmtId="165" fontId="3" fillId="4" borderId="12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1" fontId="3" fillId="4" borderId="32" xfId="0" applyNumberFormat="1" applyFont="1" applyFill="1" applyBorder="1" applyAlignment="1">
      <alignment horizontal="center" vertical="center"/>
    </xf>
    <xf numFmtId="1" fontId="3" fillId="4" borderId="33" xfId="0" applyNumberFormat="1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10" fontId="3" fillId="4" borderId="7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165" fontId="3" fillId="6" borderId="9" xfId="0" applyNumberFormat="1" applyFont="1" applyFill="1" applyBorder="1" applyAlignment="1">
      <alignment horizontal="center" vertical="center"/>
    </xf>
    <xf numFmtId="165" fontId="3" fillId="6" borderId="10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165" fontId="3" fillId="4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/>
    </xf>
    <xf numFmtId="165" fontId="3" fillId="6" borderId="30" xfId="0" applyNumberFormat="1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104775</xdr:rowOff>
    </xdr:from>
    <xdr:to>
      <xdr:col>4</xdr:col>
      <xdr:colOff>0</xdr:colOff>
      <xdr:row>9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8286FA-26EC-EB2E-DE4E-80FE7C2C7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1711"/>
        <a:stretch>
          <a:fillRect/>
        </a:stretch>
      </xdr:blipFill>
      <xdr:spPr>
        <a:xfrm>
          <a:off x="590550" y="104775"/>
          <a:ext cx="7524750" cy="181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:K46"/>
  <sheetViews>
    <sheetView showGridLines="0" tabSelected="1" topLeftCell="A5" workbookViewId="0">
      <selection activeCell="C20" sqref="C20:D20"/>
    </sheetView>
  </sheetViews>
  <sheetFormatPr defaultColWidth="0" defaultRowHeight="15.75"/>
  <cols>
    <col min="1" max="1" width="9.140625" customWidth="1"/>
    <col min="2" max="2" width="45.5703125" bestFit="1" customWidth="1"/>
    <col min="3" max="3" width="34.140625" style="2" customWidth="1"/>
    <col min="4" max="4" width="32.85546875" style="2" customWidth="1"/>
    <col min="5" max="5" width="11.42578125" bestFit="1" customWidth="1"/>
    <col min="6" max="6" width="15.7109375" style="71" bestFit="1" customWidth="1"/>
    <col min="7" max="8" width="9.140625" hidden="1" customWidth="1"/>
    <col min="9" max="11" width="9.140625" hidden="1"/>
  </cols>
  <sheetData>
    <row r="12" spans="2:4" ht="18.75">
      <c r="B12" s="29" t="s">
        <v>0</v>
      </c>
      <c r="C12" s="30"/>
      <c r="D12" s="31"/>
    </row>
    <row r="13" spans="2:4">
      <c r="B13" s="38" t="s">
        <v>1</v>
      </c>
      <c r="C13" s="37">
        <v>4200</v>
      </c>
      <c r="D13" s="39"/>
    </row>
    <row r="14" spans="2:4">
      <c r="B14" s="5" t="s">
        <v>2</v>
      </c>
      <c r="C14" s="32">
        <v>6.0000000000000001E-3</v>
      </c>
      <c r="D14" s="33"/>
    </row>
    <row r="15" spans="2:4">
      <c r="B15" s="6" t="s">
        <v>3</v>
      </c>
      <c r="C15" s="25">
        <f>C13*30%</f>
        <v>1260</v>
      </c>
      <c r="D15" s="26"/>
    </row>
    <row r="16" spans="2:4">
      <c r="B16" s="41"/>
      <c r="C16" s="17"/>
      <c r="D16" s="42"/>
    </row>
    <row r="17" spans="2:6" s="1" customFormat="1" ht="28.5" customHeight="1">
      <c r="B17" s="27" t="s">
        <v>4</v>
      </c>
      <c r="C17" s="28"/>
      <c r="D17" s="40"/>
      <c r="F17" s="71"/>
    </row>
    <row r="18" spans="2:6" s="1" customFormat="1" ht="18.75">
      <c r="B18" s="58" t="s">
        <v>5</v>
      </c>
      <c r="C18" s="59">
        <v>150000</v>
      </c>
      <c r="D18" s="60"/>
      <c r="F18" s="71"/>
    </row>
    <row r="19" spans="2:6">
      <c r="B19" s="58" t="s">
        <v>6</v>
      </c>
      <c r="C19" s="59">
        <v>2500</v>
      </c>
      <c r="D19" s="60"/>
      <c r="F19" s="72"/>
    </row>
    <row r="20" spans="2:6">
      <c r="B20" s="61" t="s">
        <v>7</v>
      </c>
      <c r="C20" s="62">
        <v>10</v>
      </c>
      <c r="D20" s="63"/>
    </row>
    <row r="21" spans="2:6">
      <c r="B21" s="61" t="s">
        <v>8</v>
      </c>
      <c r="C21" s="64">
        <v>1.0789999999999999E-2</v>
      </c>
      <c r="D21" s="65"/>
    </row>
    <row r="22" spans="2:6">
      <c r="B22" s="66" t="s">
        <v>9</v>
      </c>
      <c r="C22" s="70" cm="1">
        <f t="array" ref="C22">FV(taxa_mensal,qtd_anos*12,aporte*-1)</f>
        <v>608210.53132543049</v>
      </c>
      <c r="D22" s="74" cm="1">
        <f t="array" ref="D22:E22">aporte_inicial*(1+taxa_mensal)^(qtd_anos*12)+FV(taxa_mensal,qtd_anos*12,aporte*-1)</f>
        <v>1151966.0293055142</v>
      </c>
      <c r="E22" s="75">
        <v>608210.53132543049</v>
      </c>
    </row>
    <row r="23" spans="2:6">
      <c r="B23" s="67" t="s">
        <v>10</v>
      </c>
      <c r="C23" s="68" cm="1">
        <f t="array" ref="C23">patrimonio*rendimento_carteira</f>
        <v>3649.2631879525829</v>
      </c>
      <c r="D23" s="69"/>
    </row>
    <row r="25" spans="2:6" ht="18.75">
      <c r="B25" s="27" t="s">
        <v>11</v>
      </c>
      <c r="C25" s="28"/>
      <c r="D25" s="8" t="s">
        <v>12</v>
      </c>
      <c r="E25" s="3"/>
    </row>
    <row r="26" spans="2:6">
      <c r="B26" s="9" t="s">
        <v>13</v>
      </c>
      <c r="C26" s="4">
        <f>FV($C$21,2*12,$C$19*-1)</f>
        <v>68069.068244113048</v>
      </c>
      <c r="D26" s="10" cm="1">
        <f t="array" ref="D26">C26*rendimento_carteira</f>
        <v>408.41440946467827</v>
      </c>
    </row>
    <row r="27" spans="2:6">
      <c r="B27" s="9" t="s">
        <v>14</v>
      </c>
      <c r="C27" s="4">
        <f>FV($C$21,5*12,$C$19*-1)</f>
        <v>209442.2849962191</v>
      </c>
      <c r="D27" s="10" cm="1">
        <f t="array" ref="D27">C27*rendimento_carteira</f>
        <v>1256.6537099773145</v>
      </c>
    </row>
    <row r="28" spans="2:6">
      <c r="B28" s="9" t="s">
        <v>15</v>
      </c>
      <c r="C28" s="4">
        <f>FV($C$21,10*12,$C$19*-1)</f>
        <v>608210.53132543049</v>
      </c>
      <c r="D28" s="10" cm="1">
        <f t="array" ref="D28">C28*rendimento_carteira</f>
        <v>3649.2631879525829</v>
      </c>
    </row>
    <row r="29" spans="2:6">
      <c r="B29" s="11" t="s">
        <v>16</v>
      </c>
      <c r="C29" s="7">
        <f>FV($C$21,20*12,$C$19*-1)</f>
        <v>2812996.0002427013</v>
      </c>
      <c r="D29" s="12" cm="1">
        <f t="array" ref="D29">C29*rendimento_carteira</f>
        <v>16877.976001456209</v>
      </c>
    </row>
    <row r="30" spans="2:6">
      <c r="B30" s="13" t="s">
        <v>17</v>
      </c>
      <c r="C30" s="14">
        <f>FV($C$21,30*12,$C$19*-1)</f>
        <v>10805424.137511786</v>
      </c>
      <c r="D30" s="15" cm="1">
        <f t="array" ref="D30">C30*rendimento_carteira</f>
        <v>64832.54482507072</v>
      </c>
    </row>
    <row r="33" spans="2:6">
      <c r="B33" s="57" t="s">
        <v>18</v>
      </c>
      <c r="C33" s="43" t="s">
        <v>19</v>
      </c>
      <c r="D33" s="44"/>
    </row>
    <row r="34" spans="2:6">
      <c r="B34" s="45" t="s">
        <v>20</v>
      </c>
      <c r="C34" s="36">
        <v>800</v>
      </c>
      <c r="D34" s="46"/>
    </row>
    <row r="35" spans="2:6">
      <c r="B35" s="47"/>
      <c r="C35" s="17"/>
      <c r="D35" s="48"/>
    </row>
    <row r="36" spans="2:6">
      <c r="B36" s="49" t="s">
        <v>21</v>
      </c>
      <c r="C36" s="50" t="s">
        <v>22</v>
      </c>
      <c r="D36" s="51" t="s">
        <v>23</v>
      </c>
    </row>
    <row r="37" spans="2:6">
      <c r="B37" s="52" t="s">
        <v>24</v>
      </c>
      <c r="C37" s="18">
        <f>VLOOKUP($C$33&amp;"-"&amp;B37,Folha1!A:D,4,FALSE)</f>
        <v>0.5</v>
      </c>
      <c r="D37" s="53">
        <f>C37*$C$34</f>
        <v>400</v>
      </c>
    </row>
    <row r="38" spans="2:6">
      <c r="B38" s="52" t="s">
        <v>25</v>
      </c>
      <c r="C38" s="18">
        <f>VLOOKUP($C$33&amp;"-"&amp;B38,Folha1!A:D,4,FALSE)</f>
        <v>0.1</v>
      </c>
      <c r="D38" s="53">
        <f t="shared" ref="D38:D42" si="0">C38*$C$34</f>
        <v>80</v>
      </c>
    </row>
    <row r="39" spans="2:6">
      <c r="B39" s="52" t="s">
        <v>26</v>
      </c>
      <c r="C39" s="18">
        <f>VLOOKUP($C$33&amp;"-"&amp;B39,Folha1!A:D,4,FALSE)</f>
        <v>0.05</v>
      </c>
      <c r="D39" s="53">
        <f t="shared" si="0"/>
        <v>40</v>
      </c>
    </row>
    <row r="40" spans="2:6">
      <c r="B40" s="52" t="s">
        <v>27</v>
      </c>
      <c r="C40" s="18">
        <f>VLOOKUP($C$33&amp;"-"&amp;B40,Folha1!A:D,4,FALSE)</f>
        <v>0.05</v>
      </c>
      <c r="D40" s="53">
        <f t="shared" si="0"/>
        <v>40</v>
      </c>
    </row>
    <row r="41" spans="2:6">
      <c r="B41" s="52" t="s">
        <v>28</v>
      </c>
      <c r="C41" s="18">
        <f>VLOOKUP($C$33&amp;"-"&amp;B41,Folha1!A:D,4,FALSE)</f>
        <v>0.2</v>
      </c>
      <c r="D41" s="53">
        <f t="shared" si="0"/>
        <v>160</v>
      </c>
    </row>
    <row r="42" spans="2:6">
      <c r="B42" s="52" t="s">
        <v>29</v>
      </c>
      <c r="C42" s="18">
        <f>VLOOKUP($C$33&amp;"-"&amp;B42,Folha1!A:D,4,FALSE)</f>
        <v>0.1</v>
      </c>
      <c r="D42" s="53">
        <f t="shared" si="0"/>
        <v>80</v>
      </c>
    </row>
    <row r="43" spans="2:6">
      <c r="B43" s="54"/>
      <c r="C43" s="55"/>
      <c r="D43" s="56">
        <f>SUM(D37:D42)</f>
        <v>800</v>
      </c>
    </row>
    <row r="44" spans="2:6">
      <c r="B44" s="2"/>
    </row>
    <row r="46" spans="2:6">
      <c r="F46" s="73"/>
    </row>
  </sheetData>
  <mergeCells count="12">
    <mergeCell ref="C34:D34"/>
    <mergeCell ref="C18:D18"/>
    <mergeCell ref="C23:D23"/>
    <mergeCell ref="B25:C25"/>
    <mergeCell ref="B17:D17"/>
    <mergeCell ref="B12:D12"/>
    <mergeCell ref="C13:D13"/>
    <mergeCell ref="C14:D14"/>
    <mergeCell ref="C15:D15"/>
    <mergeCell ref="C19:D19"/>
    <mergeCell ref="C20:D20"/>
    <mergeCell ref="C21:D21"/>
  </mergeCells>
  <dataValidations count="1">
    <dataValidation type="list" allowBlank="1" showInputMessage="1" showErrorMessage="1" sqref="C33" xr:uid="{4D7E8223-C137-4287-8788-51B66F9CDBC2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DF30-7986-44C9-B2FA-7A4565A52194}">
  <dimension ref="A3:H21"/>
  <sheetViews>
    <sheetView workbookViewId="0">
      <selection activeCell="D11" sqref="D11"/>
    </sheetView>
  </sheetViews>
  <sheetFormatPr defaultRowHeight="15"/>
  <cols>
    <col min="1" max="1" width="34" style="2" bestFit="1" customWidth="1"/>
    <col min="2" max="2" width="14.7109375" style="2" bestFit="1" customWidth="1"/>
    <col min="3" max="4" width="19.28515625" style="2" bestFit="1" customWidth="1"/>
    <col min="7" max="7" width="18.85546875" style="2" bestFit="1" customWidth="1"/>
    <col min="8" max="8" width="26.5703125" style="2" customWidth="1"/>
  </cols>
  <sheetData>
    <row r="3" spans="1:8">
      <c r="A3" s="24" t="s">
        <v>30</v>
      </c>
      <c r="B3" s="24" t="s">
        <v>31</v>
      </c>
      <c r="C3" s="24" t="s">
        <v>21</v>
      </c>
      <c r="D3" s="24" t="s">
        <v>32</v>
      </c>
    </row>
    <row r="4" spans="1:8">
      <c r="A4" s="2" t="str">
        <f>B4&amp;"-"&amp;C4</f>
        <v>CONSERVADOR-PAPEL</v>
      </c>
      <c r="B4" s="17" t="s">
        <v>33</v>
      </c>
      <c r="C4" s="17" t="s">
        <v>24</v>
      </c>
      <c r="D4" s="18">
        <v>0.3</v>
      </c>
    </row>
    <row r="5" spans="1:8">
      <c r="A5" s="2" t="str">
        <f t="shared" ref="A5:A21" si="0">B5&amp;"-"&amp;C5</f>
        <v>CONSERVADOR-TIJOLO</v>
      </c>
      <c r="B5" s="17" t="s">
        <v>33</v>
      </c>
      <c r="C5" s="17" t="s">
        <v>25</v>
      </c>
      <c r="D5" s="18">
        <v>0.5</v>
      </c>
    </row>
    <row r="6" spans="1:8" ht="15.75">
      <c r="A6" s="2" t="str">
        <f t="shared" si="0"/>
        <v>CONSERVADOR-HÍBRIDOS</v>
      </c>
      <c r="B6" s="17" t="s">
        <v>33</v>
      </c>
      <c r="C6" s="17" t="s">
        <v>26</v>
      </c>
      <c r="D6" s="19">
        <v>0.1</v>
      </c>
      <c r="H6" s="2" t="s">
        <v>32</v>
      </c>
    </row>
    <row r="7" spans="1:8" ht="15.75">
      <c r="A7" s="2" t="str">
        <f t="shared" si="0"/>
        <v>CONSERVADOR-FOFs</v>
      </c>
      <c r="B7" s="17" t="s">
        <v>33</v>
      </c>
      <c r="C7" s="17" t="s">
        <v>27</v>
      </c>
      <c r="D7" s="19">
        <v>0.1</v>
      </c>
      <c r="G7" s="2" t="s">
        <v>34</v>
      </c>
      <c r="H7" s="16">
        <f>VLOOKUP(G7,$A:$D,4,FALSE)</f>
        <v>0.35</v>
      </c>
    </row>
    <row r="8" spans="1:8">
      <c r="A8" s="2" t="str">
        <f t="shared" si="0"/>
        <v>CONSERVADOR-DESENVOLVIMENTO</v>
      </c>
      <c r="B8" s="17" t="s">
        <v>33</v>
      </c>
      <c r="C8" s="17" t="s">
        <v>28</v>
      </c>
      <c r="D8" s="18">
        <v>0</v>
      </c>
      <c r="H8" s="16"/>
    </row>
    <row r="9" spans="1:8">
      <c r="A9" s="2" t="str">
        <f t="shared" si="0"/>
        <v>CONSERVADOR-HOTELARIAS</v>
      </c>
      <c r="B9" s="17" t="s">
        <v>33</v>
      </c>
      <c r="C9" s="17" t="s">
        <v>29</v>
      </c>
      <c r="D9" s="18">
        <v>0</v>
      </c>
      <c r="H9" s="16"/>
    </row>
    <row r="10" spans="1:8">
      <c r="A10" s="22" t="str">
        <f t="shared" si="0"/>
        <v>MODERADO-PAPEL</v>
      </c>
      <c r="B10" s="22" t="s">
        <v>35</v>
      </c>
      <c r="C10" s="22" t="s">
        <v>24</v>
      </c>
      <c r="D10" s="23">
        <v>0.32</v>
      </c>
      <c r="H10" s="16"/>
    </row>
    <row r="11" spans="1:8">
      <c r="A11" s="34" t="str">
        <f t="shared" si="0"/>
        <v>MODERADO-TIJOLO</v>
      </c>
      <c r="B11" s="34" t="s">
        <v>35</v>
      </c>
      <c r="C11" s="34" t="s">
        <v>25</v>
      </c>
      <c r="D11" s="35">
        <v>0.35</v>
      </c>
      <c r="H11" s="16"/>
    </row>
    <row r="12" spans="1:8" ht="15.75">
      <c r="A12" s="17" t="str">
        <f t="shared" si="0"/>
        <v>MODERADO-HÍBRIDOS</v>
      </c>
      <c r="B12" s="17" t="s">
        <v>35</v>
      </c>
      <c r="C12" s="17" t="s">
        <v>26</v>
      </c>
      <c r="D12" s="19">
        <v>0.08</v>
      </c>
      <c r="H12" s="16"/>
    </row>
    <row r="13" spans="1:8" ht="15.75">
      <c r="A13" s="17" t="str">
        <f t="shared" si="0"/>
        <v>MODERADO-FOFs</v>
      </c>
      <c r="B13" s="17" t="s">
        <v>35</v>
      </c>
      <c r="C13" s="17" t="s">
        <v>27</v>
      </c>
      <c r="D13" s="19">
        <v>0.05</v>
      </c>
      <c r="H13" s="16"/>
    </row>
    <row r="14" spans="1:8">
      <c r="A14" s="17" t="str">
        <f t="shared" si="0"/>
        <v>MODERADO-DESENVOLVIMENTO</v>
      </c>
      <c r="B14" s="17" t="s">
        <v>35</v>
      </c>
      <c r="C14" s="17" t="s">
        <v>28</v>
      </c>
      <c r="D14" s="18">
        <v>0.1</v>
      </c>
      <c r="H14" s="16"/>
    </row>
    <row r="15" spans="1:8">
      <c r="A15" s="20" t="str">
        <f t="shared" si="0"/>
        <v>MODERADO-HOTELARIAS</v>
      </c>
      <c r="B15" s="20" t="s">
        <v>35</v>
      </c>
      <c r="C15" s="20" t="s">
        <v>29</v>
      </c>
      <c r="D15" s="21">
        <v>0.1</v>
      </c>
      <c r="H15" s="16"/>
    </row>
    <row r="16" spans="1:8">
      <c r="A16" s="17" t="str">
        <f t="shared" si="0"/>
        <v>AGRESSIVO-PAPEL</v>
      </c>
      <c r="B16" s="17" t="s">
        <v>19</v>
      </c>
      <c r="C16" s="17" t="s">
        <v>24</v>
      </c>
      <c r="D16" s="18">
        <v>0.5</v>
      </c>
      <c r="H16" s="16"/>
    </row>
    <row r="17" spans="1:8">
      <c r="A17" s="17" t="str">
        <f t="shared" si="0"/>
        <v>AGRESSIVO-TIJOLO</v>
      </c>
      <c r="B17" s="17" t="s">
        <v>19</v>
      </c>
      <c r="C17" s="17" t="s">
        <v>25</v>
      </c>
      <c r="D17" s="18">
        <v>0.1</v>
      </c>
      <c r="H17" s="16"/>
    </row>
    <row r="18" spans="1:8" ht="15.75">
      <c r="A18" s="17" t="str">
        <f t="shared" si="0"/>
        <v>AGRESSIVO-HÍBRIDOS</v>
      </c>
      <c r="B18" s="17" t="s">
        <v>19</v>
      </c>
      <c r="C18" s="17" t="s">
        <v>26</v>
      </c>
      <c r="D18" s="19">
        <v>0.05</v>
      </c>
    </row>
    <row r="19" spans="1:8" ht="15.75">
      <c r="A19" s="17" t="str">
        <f t="shared" si="0"/>
        <v>AGRESSIVO-FOFs</v>
      </c>
      <c r="B19" s="17" t="s">
        <v>19</v>
      </c>
      <c r="C19" s="17" t="s">
        <v>27</v>
      </c>
      <c r="D19" s="19">
        <v>0.05</v>
      </c>
    </row>
    <row r="20" spans="1:8">
      <c r="A20" s="17" t="str">
        <f t="shared" si="0"/>
        <v>AGRESSIVO-DESENVOLVIMENTO</v>
      </c>
      <c r="B20" s="17" t="s">
        <v>19</v>
      </c>
      <c r="C20" s="17" t="s">
        <v>28</v>
      </c>
      <c r="D20" s="18">
        <v>0.2</v>
      </c>
    </row>
    <row r="21" spans="1:8">
      <c r="A21" s="20" t="str">
        <f t="shared" si="0"/>
        <v>AGRESSIVO-HOTELARIAS</v>
      </c>
      <c r="B21" s="20" t="s">
        <v>19</v>
      </c>
      <c r="C21" s="20" t="s">
        <v>29</v>
      </c>
      <c r="D21" s="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2026-10-01T13:49:57Z</dcterms:created>
  <dcterms:modified xsi:type="dcterms:W3CDTF">2026-10-01T20:49:47Z</dcterms:modified>
  <cp:category/>
  <cp:contentStatus/>
</cp:coreProperties>
</file>